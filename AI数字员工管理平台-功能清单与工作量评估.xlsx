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160"/>
  </bookViews>
  <sheets>
    <sheet name="第一期开发" sheetId="1" r:id="rId1"/>
    <sheet name="第二期开发" sheetId="2" r:id="rId2"/>
    <sheet name="汇总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<sst xmlns="http://schemas.openxmlformats.org/spreadsheetml/2006/main" count="330" uniqueCount="140">
  <si>
    <t>一级模块
(需求概述)</t>
  </si>
  <si>
    <t>二级模块
(功能分解)</t>
  </si>
  <si>
    <t>三级模块
(详细功能点)</t>
  </si>
  <si>
    <t>功能描述</t>
  </si>
  <si>
    <t>优先级</t>
  </si>
  <si>
    <t>复杂度</t>
  </si>
  <si>
    <t>前置依赖</t>
  </si>
  <si>
    <t>备注</t>
  </si>
  <si>
    <t>产品工作量
(人日)</t>
  </si>
  <si>
    <t>前端工作量
(人日)</t>
  </si>
  <si>
    <t>后端工作量
(人日)</t>
  </si>
  <si>
    <t>测试工作量
(人日)</t>
  </si>
  <si>
    <t>合计工作量（人日）
(按照复杂度限制单需
求工作量上限分别为
50、15、5)</t>
  </si>
  <si>
    <t>第一期开发功能清单</t>
  </si>
  <si>
    <t>基础架构</t>
  </si>
  <si>
    <t>项目初始化</t>
  </si>
  <si>
    <t>工程脚手架搭建</t>
  </si>
  <si>
    <t/>
  </si>
  <si>
    <t>中</t>
  </si>
  <si>
    <t>公共组件与布局</t>
  </si>
  <si>
    <t>用户端与管理后台双布局框架，侧边栏导航、顶部操作栏、面包屑等公共组件</t>
  </si>
  <si>
    <t>登录与角色切换</t>
  </si>
  <si>
    <t>用户登录页面、角色切换器、Token 鉴权机制、路由守卫</t>
  </si>
  <si>
    <t>用户端</t>
  </si>
  <si>
    <t>个人助手
（聊天对话）</t>
  </si>
  <si>
    <t>左侧对话列表</t>
  </si>
  <si>
    <t>以列表形式展示用户与各数字员工的对话，显示头像、名称、最后消息、时间、未读数角标、在线状态圆点；支持按员工名称/消息关键词搜索；顶部提供员工通讯录(+)、定时任务(日历)、搜索快捷按钮</t>
  </si>
  <si>
    <t>聊天区域-消息展示</t>
  </si>
  <si>
    <t>用户消息蓝色气泡靠右，AI 回复白色气泡靠左；支持 Markdown 渲染；AI 回复下方显示技能调用标签；消息操作按钮（复制/点赞/不满意）；AI 回复过程中展示三点跳动打字动画；新消息自动滚动到底部</t>
  </si>
  <si>
    <t>高</t>
  </si>
  <si>
    <t>聊天区域-消息输入与发送</t>
  </si>
  <si>
    <t>底部输入框支持多行文本输入、文件附件上传按钮、语音输入按钮、发送按钮；Enter 发送消息，Shift+Enter 换行</t>
  </si>
  <si>
    <t>聊天区域-欢迎语与快捷操作</t>
  </si>
  <si>
    <t>首次进入对话时数字员工自动发送自我介绍（含名称和职责描述）；展示预设快捷指令标签：处理待办、生成周报、分析数据、查看知识更新</t>
  </si>
  <si>
    <t>低</t>
  </si>
  <si>
    <t>右侧详情面板</t>
  </si>
  <si>
    <t>点击「查看详情」展开/收起（宽度 320px），包含四个标签页：详情（头像/名称/状态/基本信息/Tokens进度条）、技能（技能标签列表及详情）、知识（知识库列表）、任务（任务列表及状态）</t>
  </si>
  <si>
    <t>员工通讯录弹窗</t>
  </si>
  <si>
    <t>部门/岗位树形视图</t>
  </si>
  <si>
    <t>弹窗尺寸 900×520px；左侧面板支持按部门/按岗位两种视图切换，树形结构展示；按部门视图以「天翼云数字员工」为根节点，按岗位视图按岗位分组；各节点显示员工数量</t>
  </si>
  <si>
    <t>搜索与发起对话</t>
  </si>
  <si>
    <t>顶部搜索框支持按员工名称、岗位关键词搜索；右侧面板展示员工卡片（头像/名称/状态/部门岗位）；点击「发起对话」自动添加到对话列表并切换</t>
  </si>
  <si>
    <t>定时任务管理</t>
  </si>
  <si>
    <t>任务列表与启用/暂停</t>
  </si>
  <si>
    <t>弹窗展示所有定时任务列表，每条显示任务名称、执行频率标签、启用/暂停状态、执行员工、描述、上次/下次执行时间；Switch 开关一键启用或暂停</t>
  </si>
  <si>
    <t>新建定时任务</t>
  </si>
  <si>
    <t>配置任务名称（必填）、执行员工（下拉选择在线员工）、执行频率（预设选项+自定义 Cron 表达式）、任务描述</t>
  </si>
  <si>
    <t>智能体中心
（更多智能体）</t>
  </si>
  <si>
    <t>智能体 Tab</t>
  </si>
  <si>
    <t>卡片网格展示智能体，每张卡片含头像、名称、星级评分、描述、功能标签、使用数据（使用人数/会话数/Token 消耗）；支持按名称和描述搜索</t>
  </si>
  <si>
    <t>数字员工 Tab</t>
  </si>
  <si>
    <t>卡片网格展示数字员工，含部门筛选、子 Tab（全部/热门排行/我的收藏）、收藏功能、使用数据（使用人数/会话数/完成率/Token 消耗）；点击跳转聊天</t>
  </si>
  <si>
    <t>数字员工通讯录
（组织架构视图）</t>
  </si>
  <si>
    <t>左侧组织架构树</t>
  </si>
  <si>
    <t>按部门/按岗位两种视图切换 Tab，树形结构展示所有数字员工；支持按部门/岗位/名称搜索实时过滤；节点展开/折叠、选中高亮、悬停效果；各节点右侧显示员工数量</t>
  </si>
  <si>
    <t>右侧内容区</t>
  </si>
  <si>
    <t>根据左侧选中节点展示：未选中时空状态引导；选中根节点/部门/岗位时展示员工卡片网格；选中员工时展示详情（头像/基本信息/Tokens/技能/知识库/「发起对话」按钮）</t>
  </si>
  <si>
    <t>管理后台</t>
  </si>
  <si>
    <t>我的待办</t>
  </si>
  <si>
    <t>待办列表</t>
  </si>
  <si>
    <t>展示当前登录角色待处理的审批事项列表，含审批单号、类型、发起人、当前环节、状态标签、发起时间；支持按审批状态和类型筛选；区分「我的待办」和「我发起的」</t>
  </si>
  <si>
    <t>审批操作与详情</t>
  </si>
  <si>
    <t>支持通过、驳回、退回发起人（绩效审批不支持退回）操作；填写审批意见；查看完整审批时间线（各节点审批人、意见、时间）</t>
  </si>
  <si>
    <t>员工管理</t>
  </si>
  <si>
    <t>员工列表</t>
  </si>
  <si>
    <t>表格展示所有数字员工，字段包含工号、名称、部门、岗位、状态、归属人、能力等级、Tokens 使用率等；支持按状态筛选、关键词搜索、分页</t>
  </si>
  <si>
    <t>员工详情与编辑</t>
  </si>
  <si>
    <t>查看/编辑员工基本信息（名称/部门/岗位/归属人/描述）、状态管理（ACTIVE/TRAINING/SUSPENDED/TERMINATED）、关联智能体、技能绑定、知识库绑定</t>
  </si>
  <si>
    <t>三维评估展示</t>
  </si>
  <si>
    <t>效能评估、合规评估、安全评估三维度评分雷达图/进度条展示；运行监控数据（操作日志/业务执行数据）</t>
  </si>
  <si>
    <t>入职管理</t>
  </si>
  <si>
    <t>入职申请表单</t>
  </si>
  <si>
    <t>填写数字员工身份信息（工号/名称/所属自然人/自有或外包/数字形象/岗位）；设置 Tokens 配额、操作权限、关联智能体列表；录入入职/激活日期</t>
  </si>
  <si>
    <t>入职审批流程</t>
  </si>
  <si>
    <t>多级审批：部门管理员→人力部门→超级管理员；各环节支持通过/驳回/退回发起人；审批意见与时间戳记录；审批通过后系统自动完成入职</t>
  </si>
  <si>
    <t>入职记录列表</t>
  </si>
  <si>
    <t>展示所有入职申请记录及其审批状态、发起人、审批进度；支持按状态筛选</t>
  </si>
  <si>
    <t>任务调度日志</t>
  </si>
  <si>
    <t>日志列表</t>
  </si>
  <si>
    <t>展示定时任务的执行记录列表，包含任务名称、执行员工、执行时间、执行状态（成功/失败/超时）、耗时；支持按任务名称/执行员工/状态筛选、时间范围选择</t>
  </si>
  <si>
    <t>执行详情</t>
  </si>
  <si>
    <t>查看单次任务执行的详细信息，包含执行参数、执行结果、错误信息、关联对话记录</t>
  </si>
  <si>
    <t>第一期合计</t>
  </si>
  <si>
    <t>第二期开发功能清单</t>
  </si>
  <si>
    <t>运营驾驶舱</t>
  </si>
  <si>
    <t>全局数据概览</t>
  </si>
  <si>
    <t>六大核心指标卡片：风险预警数、运行健康度（百分比+环比）、数字员工总数（月度增长率）、智能体总数（自有/外包占比）、今日 Tokens 消耗（超支风险提示）、平均任务完成率（效能评级）</t>
  </si>
  <si>
    <t>图表展示</t>
  </si>
  <si>
    <t>Tokens 消耗趋势：近 7 天柱状图，区分文本/视频/多模态 Tokens；能力等级分布：环形图展示 L1-L4 各等级数字员工占比</t>
  </si>
  <si>
    <t>数字人预警</t>
  </si>
  <si>
    <t>预警统计与列表</t>
  </si>
  <si>
    <t>统计卡片展示各级别（紧急/警告/提示）未处理预警数量；预警列表支持按类型、级别、状态（未处理/已处理）筛选；支持一键标记已处理</t>
  </si>
  <si>
    <t>预警详情</t>
  </si>
  <si>
    <t>查看完整预警详情，包含时间线、影响范围、处理建议；热门排行 TOP5 数字员工；最近运行状态变更动态</t>
  </si>
  <si>
    <t>岗位设置</t>
  </si>
  <si>
    <t>岗位管理</t>
  </si>
  <si>
    <t>岗位增删改查、岗位分类管理、岗位与部门关联配置、岗位职责描述维护</t>
  </si>
  <si>
    <t>调动管理</t>
  </si>
  <si>
    <t>调动申请与审批</t>
  </si>
  <si>
    <t>发起数字员工岗位/部门调动申请；调动审批流程；调动记录列表与历史追溯</t>
  </si>
  <si>
    <t>需求管理</t>
  </si>
  <si>
    <t>需求列表与管理</t>
  </si>
  <si>
    <t>数字员工需求申请、需求列表展示、需求状态跟踪、需求审批流程</t>
  </si>
  <si>
    <t>绩效管理</t>
  </si>
  <si>
    <t>考核指标与评分</t>
  </si>
  <si>
    <t>Tokens 消耗、业务完成率、智能体调用效率、降本增效等核心考核指标；结合模型评测结果自动核算考核分数</t>
  </si>
  <si>
    <t>考核报告与审批</t>
  </si>
  <si>
    <t>生成考核报告；绩效审批流程（部门管理员→人力部门→超级管理员）；一经发起不可退回发起人修改，只能通过或驳回终止</t>
  </si>
  <si>
    <t>退出管理</t>
  </si>
  <si>
    <t>退出申请与审批</t>
  </si>
  <si>
    <t>发起退出申请并走审批流程（部门管理员→人力部门）；录入离职/停用日期</t>
  </si>
  <si>
    <t>退出处理</t>
  </si>
  <si>
    <t>数据脱敏销毁、Tokens 配额回收、生成退出审计日志，实现全流程可追溯合规退出</t>
  </si>
  <si>
    <t>调度配置</t>
  </si>
  <si>
    <t>调度规则配置</t>
  </si>
  <si>
    <t>配置任务调度规则和策略；调度模板管理；调度优先级与冲突处理；调度监控告警规则</t>
  </si>
  <si>
    <t>技能配置</t>
  </si>
  <si>
    <t>技能管理</t>
  </si>
  <si>
    <t>技能列表展示（ID/名称/分类/等级/来源/绑定数/状态）；技能等级 L1-L4 分类；技能绑定到数字员工；搜索筛选；增删改查与启用/停用；统计概览</t>
  </si>
  <si>
    <t>知识配置</t>
  </si>
  <si>
    <t>知识库管理</t>
  </si>
  <si>
    <t>支持知识库/知识卡片/数据集三种类型；资源列表展示；知识更新与重新学习操作；状态管理（已发布/学习中/待更新）；搜索筛选；统计概览</t>
  </si>
  <si>
    <t>Tokens 与效益</t>
  </si>
  <si>
    <t>Tokens 消耗统计</t>
  </si>
  <si>
    <t>本月消耗概览（文本/视频/多模态/预计结余）；按场景饼图分析；近 7 天趋势柱状图；按员工/按技能统计明细</t>
  </si>
  <si>
    <t>效能分析</t>
  </si>
  <si>
    <t>效能趋势折线图（任务完成量/质量/智能体调用次数月度趋势）；降本增效报告（节省工时/成本降低/ROI）；效能排名表；报告导出</t>
  </si>
  <si>
    <t>角色与权限配置</t>
  </si>
  <si>
    <t>角色管理</t>
  </si>
  <si>
    <t>角色列表展示（超管/部门管理员/自然人/人力部门/审计）；角色详情查看；权限矩阵展示；数据范围配置</t>
  </si>
  <si>
    <t>用户分配与日志</t>
  </si>
  <si>
    <t>用户角色分配（支持一人多角色）；权限变更操作日志记录；审计追溯</t>
  </si>
  <si>
    <t>第二期合计</t>
  </si>
  <si>
    <t>分期</t>
  </si>
  <si>
    <t>模块数</t>
  </si>
  <si>
    <t>功能点数</t>
  </si>
  <si>
    <t>合计工作量
(人日)</t>
  </si>
  <si>
    <t>第一期</t>
  </si>
  <si>
    <t>第二期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</si>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</sst>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000000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b/>
      <sz val="12"/>
      <color rgb="FFFFFFFF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D6E4F0"/>
        <bgColor rgb="FFD6E4F0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ED7D31"/>
        <bgColor rgb="FFED7D31"/>
      </patternFill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9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11" borderId="8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0" borderId="1" xfId="0" applyBorder="1"/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29"/>
  <sheetViews>
    <sheetView tabSelected="1" workbookViewId="0">
      <pane ySplit="1" topLeftCell="A2" activePane="bottomLeft" state="frozen"/>
      <selection/>
      <selection pane="bottomLeft" activeCell="N9" sqref="N9"/>
    </sheetView>
  </sheetViews>
  <sheetFormatPr defaultColWidth="9" defaultRowHeight="16.8"/>
  <cols>
    <col min="1" max="1" width="18" customWidth="1"/>
    <col min="2" max="2" width="20" customWidth="1"/>
    <col min="3" max="3" width="22" customWidth="1"/>
    <col min="4" max="4" width="50" customWidth="1"/>
    <col min="5" max="6" width="8" hidden="1" customWidth="1"/>
    <col min="7" max="8" width="12" hidden="1" customWidth="1"/>
    <col min="9" max="12" width="12" customWidth="1"/>
    <col min="13" max="13" width="22" customWidth="1"/>
  </cols>
  <sheetData>
    <row r="1" ht="60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35" customHeight="1" spans="1:13">
      <c r="A2" s="15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ht="32" customHeight="1" spans="1:13">
      <c r="A3" s="16" t="s">
        <v>14</v>
      </c>
      <c r="B3" s="8" t="s">
        <v>15</v>
      </c>
      <c r="C3" s="8" t="s">
        <v>16</v>
      </c>
      <c r="D3" s="9"/>
      <c r="E3" s="9" t="s">
        <v>17</v>
      </c>
      <c r="F3" s="9" t="s">
        <v>18</v>
      </c>
      <c r="G3" s="9" t="s">
        <v>17</v>
      </c>
      <c r="H3" s="9" t="s">
        <v>17</v>
      </c>
      <c r="I3" s="10">
        <v>1</v>
      </c>
      <c r="J3" s="10">
        <v>2</v>
      </c>
      <c r="K3" s="10">
        <v>1</v>
      </c>
      <c r="L3" s="10">
        <v>0.5</v>
      </c>
      <c r="M3" s="10">
        <v>4.5</v>
      </c>
    </row>
    <row r="4" ht="32" customHeight="1" spans="1:13">
      <c r="A4" s="11"/>
      <c r="B4" s="11"/>
      <c r="C4" s="8" t="s">
        <v>19</v>
      </c>
      <c r="D4" s="9" t="s">
        <v>20</v>
      </c>
      <c r="E4" s="9" t="s">
        <v>17</v>
      </c>
      <c r="F4" s="9" t="s">
        <v>18</v>
      </c>
      <c r="G4" s="9" t="s">
        <v>17</v>
      </c>
      <c r="H4" s="9" t="s">
        <v>17</v>
      </c>
      <c r="I4" s="10">
        <v>1</v>
      </c>
      <c r="J4" s="10">
        <v>3</v>
      </c>
      <c r="K4" s="10">
        <v>0</v>
      </c>
      <c r="L4" s="10">
        <v>0.5</v>
      </c>
      <c r="M4" s="10">
        <v>4.5</v>
      </c>
    </row>
    <row r="5" ht="32" customHeight="1" spans="1:13">
      <c r="A5" s="12"/>
      <c r="B5" s="12"/>
      <c r="C5" s="8" t="s">
        <v>21</v>
      </c>
      <c r="D5" s="9" t="s">
        <v>22</v>
      </c>
      <c r="E5" s="9" t="s">
        <v>17</v>
      </c>
      <c r="F5" s="9" t="s">
        <v>18</v>
      </c>
      <c r="G5" s="9" t="s">
        <v>17</v>
      </c>
      <c r="H5" s="9" t="s">
        <v>17</v>
      </c>
      <c r="I5" s="10">
        <v>1</v>
      </c>
      <c r="J5" s="10">
        <v>2</v>
      </c>
      <c r="K5" s="10">
        <v>3</v>
      </c>
      <c r="L5" s="10">
        <v>1</v>
      </c>
      <c r="M5" s="10">
        <v>7</v>
      </c>
    </row>
    <row r="6" ht="32" customHeight="1" spans="1:13">
      <c r="A6" s="17" t="s">
        <v>23</v>
      </c>
      <c r="B6" s="8" t="s">
        <v>24</v>
      </c>
      <c r="C6" s="8" t="s">
        <v>25</v>
      </c>
      <c r="D6" s="9" t="s">
        <v>26</v>
      </c>
      <c r="E6" s="9" t="s">
        <v>17</v>
      </c>
      <c r="F6" s="9" t="s">
        <v>18</v>
      </c>
      <c r="G6" s="9" t="s">
        <v>17</v>
      </c>
      <c r="H6" s="9" t="s">
        <v>17</v>
      </c>
      <c r="I6" s="10">
        <v>1</v>
      </c>
      <c r="J6" s="10">
        <v>3</v>
      </c>
      <c r="K6" s="10">
        <v>2</v>
      </c>
      <c r="L6" s="10">
        <v>1</v>
      </c>
      <c r="M6" s="10">
        <v>7</v>
      </c>
    </row>
    <row r="7" ht="32" customHeight="1" spans="1:13">
      <c r="A7" s="11"/>
      <c r="B7" s="11"/>
      <c r="C7" s="8" t="s">
        <v>27</v>
      </c>
      <c r="D7" s="9" t="s">
        <v>28</v>
      </c>
      <c r="E7" s="9" t="s">
        <v>17</v>
      </c>
      <c r="F7" s="9" t="s">
        <v>29</v>
      </c>
      <c r="G7" s="9" t="s">
        <v>17</v>
      </c>
      <c r="H7" s="9" t="s">
        <v>17</v>
      </c>
      <c r="I7" s="10">
        <v>1</v>
      </c>
      <c r="J7" s="10">
        <v>4</v>
      </c>
      <c r="K7" s="10">
        <v>3</v>
      </c>
      <c r="L7" s="10">
        <v>1</v>
      </c>
      <c r="M7" s="10">
        <v>9</v>
      </c>
    </row>
    <row r="8" ht="32" customHeight="1" spans="1:13">
      <c r="A8" s="11"/>
      <c r="B8" s="11"/>
      <c r="C8" s="8" t="s">
        <v>30</v>
      </c>
      <c r="D8" s="9" t="s">
        <v>31</v>
      </c>
      <c r="E8" s="9" t="s">
        <v>17</v>
      </c>
      <c r="F8" s="9" t="s">
        <v>18</v>
      </c>
      <c r="G8" s="9" t="s">
        <v>17</v>
      </c>
      <c r="H8" s="9" t="s">
        <v>17</v>
      </c>
      <c r="I8" s="10">
        <v>0.5</v>
      </c>
      <c r="J8" s="10">
        <v>2</v>
      </c>
      <c r="K8" s="10">
        <v>2</v>
      </c>
      <c r="L8" s="10">
        <v>1</v>
      </c>
      <c r="M8" s="10">
        <v>5.5</v>
      </c>
    </row>
    <row r="9" ht="32" customHeight="1" spans="1:13">
      <c r="A9" s="11"/>
      <c r="B9" s="11"/>
      <c r="C9" s="8" t="s">
        <v>32</v>
      </c>
      <c r="D9" s="9" t="s">
        <v>33</v>
      </c>
      <c r="E9" s="9" t="s">
        <v>17</v>
      </c>
      <c r="F9" s="9" t="s">
        <v>34</v>
      </c>
      <c r="G9" s="9" t="s">
        <v>17</v>
      </c>
      <c r="H9" s="9" t="s">
        <v>17</v>
      </c>
      <c r="I9" s="10">
        <v>0.5</v>
      </c>
      <c r="J9" s="10">
        <v>1</v>
      </c>
      <c r="K9" s="10">
        <v>1</v>
      </c>
      <c r="L9" s="10">
        <v>0.5</v>
      </c>
      <c r="M9" s="10">
        <v>3</v>
      </c>
    </row>
    <row r="10" ht="32" customHeight="1" spans="1:13">
      <c r="A10" s="11"/>
      <c r="B10" s="12"/>
      <c r="C10" s="8" t="s">
        <v>35</v>
      </c>
      <c r="D10" s="9" t="s">
        <v>36</v>
      </c>
      <c r="E10" s="9" t="s">
        <v>17</v>
      </c>
      <c r="F10" s="9" t="s">
        <v>18</v>
      </c>
      <c r="G10" s="9" t="s">
        <v>17</v>
      </c>
      <c r="H10" s="9" t="s">
        <v>17</v>
      </c>
      <c r="I10" s="10">
        <v>1</v>
      </c>
      <c r="J10" s="10">
        <v>3</v>
      </c>
      <c r="K10" s="10">
        <v>2</v>
      </c>
      <c r="L10" s="10">
        <v>1</v>
      </c>
      <c r="M10" s="10">
        <v>7</v>
      </c>
    </row>
    <row r="11" ht="32" customHeight="1" spans="1:13">
      <c r="A11" s="11"/>
      <c r="B11" s="8" t="s">
        <v>37</v>
      </c>
      <c r="C11" s="8" t="s">
        <v>38</v>
      </c>
      <c r="D11" s="9" t="s">
        <v>39</v>
      </c>
      <c r="E11" s="9" t="s">
        <v>17</v>
      </c>
      <c r="F11" s="9" t="s">
        <v>18</v>
      </c>
      <c r="G11" s="9" t="s">
        <v>17</v>
      </c>
      <c r="H11" s="9" t="s">
        <v>17</v>
      </c>
      <c r="I11" s="10">
        <v>0.5</v>
      </c>
      <c r="J11" s="10">
        <v>2</v>
      </c>
      <c r="K11" s="10">
        <v>1.5</v>
      </c>
      <c r="L11" s="10">
        <v>0.5</v>
      </c>
      <c r="M11" s="10">
        <v>4.5</v>
      </c>
    </row>
    <row r="12" ht="32" customHeight="1" spans="1:13">
      <c r="A12" s="11"/>
      <c r="B12" s="12"/>
      <c r="C12" s="8" t="s">
        <v>40</v>
      </c>
      <c r="D12" s="9" t="s">
        <v>41</v>
      </c>
      <c r="E12" s="9" t="s">
        <v>17</v>
      </c>
      <c r="F12" s="9" t="s">
        <v>34</v>
      </c>
      <c r="G12" s="9" t="s">
        <v>17</v>
      </c>
      <c r="H12" s="9" t="s">
        <v>17</v>
      </c>
      <c r="I12" s="10">
        <v>0.5</v>
      </c>
      <c r="J12" s="10">
        <v>1.5</v>
      </c>
      <c r="K12" s="10">
        <v>1</v>
      </c>
      <c r="L12" s="10">
        <v>0.5</v>
      </c>
      <c r="M12" s="10">
        <v>3.5</v>
      </c>
    </row>
    <row r="13" ht="32" customHeight="1" spans="1:13">
      <c r="A13" s="11"/>
      <c r="B13" s="8" t="s">
        <v>42</v>
      </c>
      <c r="C13" s="8" t="s">
        <v>43</v>
      </c>
      <c r="D13" s="9" t="s">
        <v>44</v>
      </c>
      <c r="E13" s="9" t="s">
        <v>17</v>
      </c>
      <c r="F13" s="9" t="s">
        <v>18</v>
      </c>
      <c r="G13" s="9" t="s">
        <v>17</v>
      </c>
      <c r="H13" s="9" t="s">
        <v>17</v>
      </c>
      <c r="I13" s="10">
        <v>0.5</v>
      </c>
      <c r="J13" s="10">
        <v>2</v>
      </c>
      <c r="K13" s="10">
        <v>2</v>
      </c>
      <c r="L13" s="10">
        <v>0.5</v>
      </c>
      <c r="M13" s="10">
        <v>5</v>
      </c>
    </row>
    <row r="14" ht="32" customHeight="1" spans="1:13">
      <c r="A14" s="11"/>
      <c r="B14" s="12"/>
      <c r="C14" s="8" t="s">
        <v>45</v>
      </c>
      <c r="D14" s="9" t="s">
        <v>46</v>
      </c>
      <c r="E14" s="9" t="s">
        <v>17</v>
      </c>
      <c r="F14" s="9" t="s">
        <v>18</v>
      </c>
      <c r="G14" s="9" t="s">
        <v>17</v>
      </c>
      <c r="H14" s="9" t="s">
        <v>17</v>
      </c>
      <c r="I14" s="10">
        <v>0.5</v>
      </c>
      <c r="J14" s="10">
        <v>1.5</v>
      </c>
      <c r="K14" s="10">
        <v>2</v>
      </c>
      <c r="L14" s="10">
        <v>0.5</v>
      </c>
      <c r="M14" s="10">
        <v>4.5</v>
      </c>
    </row>
    <row r="15" ht="32" customHeight="1" spans="1:13">
      <c r="A15" s="11"/>
      <c r="B15" s="8" t="s">
        <v>47</v>
      </c>
      <c r="C15" s="8" t="s">
        <v>48</v>
      </c>
      <c r="D15" s="9" t="s">
        <v>49</v>
      </c>
      <c r="E15" s="9" t="s">
        <v>17</v>
      </c>
      <c r="F15" s="9" t="s">
        <v>18</v>
      </c>
      <c r="G15" s="9" t="s">
        <v>17</v>
      </c>
      <c r="H15" s="9" t="s">
        <v>17</v>
      </c>
      <c r="I15" s="10">
        <v>0.5</v>
      </c>
      <c r="J15" s="10">
        <v>2</v>
      </c>
      <c r="K15" s="10">
        <v>1.5</v>
      </c>
      <c r="L15" s="10">
        <v>0.5</v>
      </c>
      <c r="M15" s="10">
        <v>4.5</v>
      </c>
    </row>
    <row r="16" ht="32" customHeight="1" spans="1:13">
      <c r="A16" s="11"/>
      <c r="B16" s="12"/>
      <c r="C16" s="8" t="s">
        <v>50</v>
      </c>
      <c r="D16" s="9" t="s">
        <v>51</v>
      </c>
      <c r="E16" s="9" t="s">
        <v>17</v>
      </c>
      <c r="F16" s="9" t="s">
        <v>18</v>
      </c>
      <c r="G16" s="9" t="s">
        <v>17</v>
      </c>
      <c r="H16" s="9" t="s">
        <v>17</v>
      </c>
      <c r="I16" s="10">
        <v>0.5</v>
      </c>
      <c r="J16" s="10">
        <v>3</v>
      </c>
      <c r="K16" s="10">
        <v>2</v>
      </c>
      <c r="L16" s="10">
        <v>0.5</v>
      </c>
      <c r="M16" s="10">
        <v>6</v>
      </c>
    </row>
    <row r="17" ht="32" customHeight="1" spans="1:13">
      <c r="A17" s="11"/>
      <c r="B17" s="8" t="s">
        <v>52</v>
      </c>
      <c r="C17" s="8" t="s">
        <v>53</v>
      </c>
      <c r="D17" s="9" t="s">
        <v>54</v>
      </c>
      <c r="E17" s="9" t="s">
        <v>17</v>
      </c>
      <c r="F17" s="9" t="s">
        <v>18</v>
      </c>
      <c r="G17" s="9" t="s">
        <v>17</v>
      </c>
      <c r="H17" s="9" t="s">
        <v>17</v>
      </c>
      <c r="I17" s="10">
        <v>0.5</v>
      </c>
      <c r="J17" s="10">
        <v>2</v>
      </c>
      <c r="K17" s="10">
        <v>1.5</v>
      </c>
      <c r="L17" s="10">
        <v>0.5</v>
      </c>
      <c r="M17" s="10">
        <v>4.5</v>
      </c>
    </row>
    <row r="18" ht="32" customHeight="1" spans="1:13">
      <c r="A18" s="12"/>
      <c r="B18" s="12"/>
      <c r="C18" s="8" t="s">
        <v>55</v>
      </c>
      <c r="D18" s="9" t="s">
        <v>56</v>
      </c>
      <c r="E18" s="9" t="s">
        <v>17</v>
      </c>
      <c r="F18" s="9" t="s">
        <v>18</v>
      </c>
      <c r="G18" s="9" t="s">
        <v>17</v>
      </c>
      <c r="H18" s="9" t="s">
        <v>17</v>
      </c>
      <c r="I18" s="10">
        <v>0.5</v>
      </c>
      <c r="J18" s="10">
        <v>2.5</v>
      </c>
      <c r="K18" s="10">
        <v>1.5</v>
      </c>
      <c r="L18" s="10">
        <v>0.5</v>
      </c>
      <c r="M18" s="10">
        <v>5</v>
      </c>
    </row>
    <row r="19" ht="32" customHeight="1" spans="1:13">
      <c r="A19" s="7" t="s">
        <v>57</v>
      </c>
      <c r="B19" s="8" t="s">
        <v>58</v>
      </c>
      <c r="C19" s="8" t="s">
        <v>59</v>
      </c>
      <c r="D19" s="9" t="s">
        <v>60</v>
      </c>
      <c r="E19" s="9" t="s">
        <v>17</v>
      </c>
      <c r="F19" s="9" t="s">
        <v>18</v>
      </c>
      <c r="G19" s="9" t="s">
        <v>17</v>
      </c>
      <c r="H19" s="9" t="s">
        <v>17</v>
      </c>
      <c r="I19" s="10">
        <v>1</v>
      </c>
      <c r="J19" s="10">
        <v>2</v>
      </c>
      <c r="K19" s="10">
        <v>3</v>
      </c>
      <c r="L19" s="10">
        <v>1</v>
      </c>
      <c r="M19" s="10">
        <v>7</v>
      </c>
    </row>
    <row r="20" ht="32" customHeight="1" spans="1:13">
      <c r="A20" s="11"/>
      <c r="B20" s="12"/>
      <c r="C20" s="8" t="s">
        <v>61</v>
      </c>
      <c r="D20" s="9" t="s">
        <v>62</v>
      </c>
      <c r="E20" s="9" t="s">
        <v>17</v>
      </c>
      <c r="F20" s="9" t="s">
        <v>29</v>
      </c>
      <c r="G20" s="9" t="s">
        <v>17</v>
      </c>
      <c r="H20" s="9" t="s">
        <v>17</v>
      </c>
      <c r="I20" s="10">
        <v>1</v>
      </c>
      <c r="J20" s="10">
        <v>3</v>
      </c>
      <c r="K20" s="10">
        <v>3</v>
      </c>
      <c r="L20" s="10">
        <v>1</v>
      </c>
      <c r="M20" s="10">
        <v>8</v>
      </c>
    </row>
    <row r="21" ht="32" customHeight="1" spans="1:13">
      <c r="A21" s="11"/>
      <c r="B21" s="8" t="s">
        <v>63</v>
      </c>
      <c r="C21" s="8" t="s">
        <v>64</v>
      </c>
      <c r="D21" s="9" t="s">
        <v>65</v>
      </c>
      <c r="E21" s="9" t="s">
        <v>17</v>
      </c>
      <c r="F21" s="9" t="s">
        <v>18</v>
      </c>
      <c r="G21" s="9" t="s">
        <v>17</v>
      </c>
      <c r="H21" s="9" t="s">
        <v>17</v>
      </c>
      <c r="I21" s="10">
        <v>0.5</v>
      </c>
      <c r="J21" s="10">
        <v>2</v>
      </c>
      <c r="K21" s="10">
        <v>2</v>
      </c>
      <c r="L21" s="10">
        <v>0.5</v>
      </c>
      <c r="M21" s="10">
        <v>5</v>
      </c>
    </row>
    <row r="22" ht="32" customHeight="1" spans="1:13">
      <c r="A22" s="11"/>
      <c r="B22" s="11"/>
      <c r="C22" s="8" t="s">
        <v>66</v>
      </c>
      <c r="D22" s="9" t="s">
        <v>67</v>
      </c>
      <c r="E22" s="9" t="s">
        <v>17</v>
      </c>
      <c r="F22" s="9" t="s">
        <v>29</v>
      </c>
      <c r="G22" s="9" t="s">
        <v>17</v>
      </c>
      <c r="H22" s="9" t="s">
        <v>17</v>
      </c>
      <c r="I22" s="10">
        <v>1</v>
      </c>
      <c r="J22" s="10">
        <v>3</v>
      </c>
      <c r="K22" s="10">
        <v>3</v>
      </c>
      <c r="L22" s="10">
        <v>1</v>
      </c>
      <c r="M22" s="10">
        <v>8</v>
      </c>
    </row>
    <row r="23" ht="32" customHeight="1" spans="1:13">
      <c r="A23" s="11"/>
      <c r="B23" s="12"/>
      <c r="C23" s="8" t="s">
        <v>68</v>
      </c>
      <c r="D23" s="9" t="s">
        <v>69</v>
      </c>
      <c r="E23" s="9" t="s">
        <v>17</v>
      </c>
      <c r="F23" s="9" t="s">
        <v>18</v>
      </c>
      <c r="G23" s="9" t="s">
        <v>17</v>
      </c>
      <c r="H23" s="9" t="s">
        <v>17</v>
      </c>
      <c r="I23" s="10">
        <v>0.5</v>
      </c>
      <c r="J23" s="10">
        <v>2</v>
      </c>
      <c r="K23" s="10">
        <v>2</v>
      </c>
      <c r="L23" s="10">
        <v>0.5</v>
      </c>
      <c r="M23" s="10">
        <v>5</v>
      </c>
    </row>
    <row r="24" ht="32" customHeight="1" spans="1:13">
      <c r="A24" s="11"/>
      <c r="B24" s="8" t="s">
        <v>70</v>
      </c>
      <c r="C24" s="8" t="s">
        <v>71</v>
      </c>
      <c r="D24" s="9" t="s">
        <v>72</v>
      </c>
      <c r="E24" s="9" t="s">
        <v>17</v>
      </c>
      <c r="F24" s="9" t="s">
        <v>29</v>
      </c>
      <c r="G24" s="9" t="s">
        <v>17</v>
      </c>
      <c r="H24" s="9" t="s">
        <v>17</v>
      </c>
      <c r="I24" s="10">
        <v>1</v>
      </c>
      <c r="J24" s="10">
        <v>3</v>
      </c>
      <c r="K24" s="10">
        <v>3</v>
      </c>
      <c r="L24" s="10">
        <v>1</v>
      </c>
      <c r="M24" s="10">
        <v>8</v>
      </c>
    </row>
    <row r="25" ht="32" customHeight="1" spans="1:13">
      <c r="A25" s="11"/>
      <c r="B25" s="11"/>
      <c r="C25" s="8" t="s">
        <v>73</v>
      </c>
      <c r="D25" s="9" t="s">
        <v>74</v>
      </c>
      <c r="E25" s="9" t="s">
        <v>17</v>
      </c>
      <c r="F25" s="9" t="s">
        <v>29</v>
      </c>
      <c r="G25" s="9" t="s">
        <v>17</v>
      </c>
      <c r="H25" s="9" t="s">
        <v>17</v>
      </c>
      <c r="I25" s="10">
        <v>1</v>
      </c>
      <c r="J25" s="10">
        <v>3</v>
      </c>
      <c r="K25" s="10">
        <v>4</v>
      </c>
      <c r="L25" s="10">
        <v>1</v>
      </c>
      <c r="M25" s="10">
        <v>9</v>
      </c>
    </row>
    <row r="26" ht="32" customHeight="1" spans="1:13">
      <c r="A26" s="11"/>
      <c r="B26" s="12"/>
      <c r="C26" s="8" t="s">
        <v>75</v>
      </c>
      <c r="D26" s="9" t="s">
        <v>76</v>
      </c>
      <c r="E26" s="9" t="s">
        <v>17</v>
      </c>
      <c r="F26" s="9" t="s">
        <v>34</v>
      </c>
      <c r="G26" s="9" t="s">
        <v>17</v>
      </c>
      <c r="H26" s="9" t="s">
        <v>17</v>
      </c>
      <c r="I26" s="10">
        <v>0.5</v>
      </c>
      <c r="J26" s="10">
        <v>1.5</v>
      </c>
      <c r="K26" s="10">
        <v>1.5</v>
      </c>
      <c r="L26" s="10">
        <v>0.5</v>
      </c>
      <c r="M26" s="10">
        <v>4</v>
      </c>
    </row>
    <row r="27" ht="32" customHeight="1" spans="1:13">
      <c r="A27" s="11"/>
      <c r="B27" s="8" t="s">
        <v>77</v>
      </c>
      <c r="C27" s="8" t="s">
        <v>78</v>
      </c>
      <c r="D27" s="9" t="s">
        <v>79</v>
      </c>
      <c r="E27" s="9" t="s">
        <v>17</v>
      </c>
      <c r="F27" s="9" t="s">
        <v>18</v>
      </c>
      <c r="G27" s="9" t="s">
        <v>17</v>
      </c>
      <c r="H27" s="9" t="s">
        <v>17</v>
      </c>
      <c r="I27" s="10">
        <v>0.5</v>
      </c>
      <c r="J27" s="10">
        <v>2</v>
      </c>
      <c r="K27" s="10">
        <v>2</v>
      </c>
      <c r="L27" s="10">
        <v>0.5</v>
      </c>
      <c r="M27" s="10">
        <v>5</v>
      </c>
    </row>
    <row r="28" ht="32" customHeight="1" spans="1:13">
      <c r="A28" s="12"/>
      <c r="B28" s="12"/>
      <c r="C28" s="8" t="s">
        <v>80</v>
      </c>
      <c r="D28" s="9" t="s">
        <v>81</v>
      </c>
      <c r="E28" s="9" t="s">
        <v>17</v>
      </c>
      <c r="F28" s="9" t="s">
        <v>18</v>
      </c>
      <c r="G28" s="9" t="s">
        <v>17</v>
      </c>
      <c r="H28" s="9" t="s">
        <v>17</v>
      </c>
      <c r="I28" s="10">
        <v>0.5</v>
      </c>
      <c r="J28" s="10">
        <v>1.5</v>
      </c>
      <c r="K28" s="10">
        <v>2</v>
      </c>
      <c r="L28" s="10">
        <v>0.5</v>
      </c>
      <c r="M28" s="10">
        <v>4.5</v>
      </c>
    </row>
    <row r="29" ht="28" customHeight="1" spans="1:13">
      <c r="A29" s="13" t="s">
        <v>82</v>
      </c>
      <c r="B29" s="6"/>
      <c r="C29" s="6"/>
      <c r="D29" s="6"/>
      <c r="E29" s="6"/>
      <c r="F29" s="6"/>
      <c r="G29" s="6"/>
      <c r="H29" s="6"/>
      <c r="I29" s="14">
        <f>SUM(I3:I28)</f>
        <v>18.5</v>
      </c>
      <c r="J29" s="14">
        <f>SUM(J3:J28)</f>
        <v>59.5</v>
      </c>
      <c r="K29" s="14">
        <f>SUM(K3:K28)</f>
        <v>52.5</v>
      </c>
      <c r="L29" s="14">
        <f>SUM(L3:L28)</f>
        <v>18</v>
      </c>
      <c r="M29" s="14">
        <f>SUM(M3:M28)</f>
        <v>148.5</v>
      </c>
    </row>
  </sheetData>
  <mergeCells count="15">
    <mergeCell ref="A2:M2"/>
    <mergeCell ref="A29:H29"/>
    <mergeCell ref="A3:A5"/>
    <mergeCell ref="A6:A18"/>
    <mergeCell ref="A19:A28"/>
    <mergeCell ref="B3:B5"/>
    <mergeCell ref="B6:B10"/>
    <mergeCell ref="B11:B12"/>
    <mergeCell ref="B13:B14"/>
    <mergeCell ref="B15:B16"/>
    <mergeCell ref="B17:B18"/>
    <mergeCell ref="B19:B20"/>
    <mergeCell ref="B21:B23"/>
    <mergeCell ref="B24:B26"/>
    <mergeCell ref="B27:B2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21"/>
  <sheetViews>
    <sheetView zoomScale="99" zoomScaleNormal="99" workbookViewId="0">
      <pane ySplit="1" topLeftCell="A10" activePane="bottomLeft" state="frozen"/>
      <selection/>
      <selection pane="bottomLeft" activeCell="B16" sqref="B16"/>
    </sheetView>
  </sheetViews>
  <sheetFormatPr defaultColWidth="9" defaultRowHeight="16.8"/>
  <cols>
    <col min="1" max="1" width="18" customWidth="1"/>
    <col min="2" max="2" width="20" customWidth="1"/>
    <col min="3" max="3" width="22" customWidth="1"/>
    <col min="4" max="4" width="50" customWidth="1"/>
    <col min="5" max="6" width="8" hidden="1" customWidth="1"/>
    <col min="7" max="8" width="12" hidden="1" customWidth="1"/>
    <col min="9" max="12" width="12" customWidth="1"/>
    <col min="13" max="13" width="22" customWidth="1"/>
  </cols>
  <sheetData>
    <row r="1" ht="60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35" customHeight="1" spans="1:13">
      <c r="A2" s="5" t="s">
        <v>83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ht="32" customHeight="1" spans="1:13">
      <c r="A3" s="7" t="s">
        <v>57</v>
      </c>
      <c r="B3" s="8" t="s">
        <v>84</v>
      </c>
      <c r="C3" s="8" t="s">
        <v>85</v>
      </c>
      <c r="D3" s="9" t="s">
        <v>86</v>
      </c>
      <c r="E3" s="9" t="s">
        <v>17</v>
      </c>
      <c r="F3" s="9" t="s">
        <v>29</v>
      </c>
      <c r="G3" s="9" t="s">
        <v>17</v>
      </c>
      <c r="H3" s="9" t="s">
        <v>17</v>
      </c>
      <c r="I3" s="10">
        <v>1</v>
      </c>
      <c r="J3" s="10">
        <v>3</v>
      </c>
      <c r="K3" s="10">
        <v>3</v>
      </c>
      <c r="L3" s="10">
        <v>1</v>
      </c>
      <c r="M3" s="10">
        <v>8</v>
      </c>
    </row>
    <row r="4" ht="32" customHeight="1" spans="1:13">
      <c r="A4" s="11"/>
      <c r="B4" s="12"/>
      <c r="C4" s="8" t="s">
        <v>87</v>
      </c>
      <c r="D4" s="9" t="s">
        <v>88</v>
      </c>
      <c r="E4" s="9" t="s">
        <v>17</v>
      </c>
      <c r="F4" s="9" t="s">
        <v>18</v>
      </c>
      <c r="G4" s="9" t="s">
        <v>17</v>
      </c>
      <c r="H4" s="9" t="s">
        <v>17</v>
      </c>
      <c r="I4" s="10">
        <v>0.5</v>
      </c>
      <c r="J4" s="10">
        <v>3</v>
      </c>
      <c r="K4" s="10">
        <v>2</v>
      </c>
      <c r="L4" s="10">
        <v>0.5</v>
      </c>
      <c r="M4" s="10">
        <v>6</v>
      </c>
    </row>
    <row r="5" ht="32" customHeight="1" spans="1:13">
      <c r="A5" s="11"/>
      <c r="B5" s="8" t="s">
        <v>89</v>
      </c>
      <c r="C5" s="8" t="s">
        <v>90</v>
      </c>
      <c r="D5" s="9" t="s">
        <v>91</v>
      </c>
      <c r="E5" s="9" t="s">
        <v>17</v>
      </c>
      <c r="F5" s="9" t="s">
        <v>18</v>
      </c>
      <c r="G5" s="9" t="s">
        <v>17</v>
      </c>
      <c r="H5" s="9" t="s">
        <v>17</v>
      </c>
      <c r="I5" s="10">
        <v>1</v>
      </c>
      <c r="J5" s="10">
        <v>2</v>
      </c>
      <c r="K5" s="10">
        <v>3</v>
      </c>
      <c r="L5" s="10">
        <v>1</v>
      </c>
      <c r="M5" s="10">
        <v>7</v>
      </c>
    </row>
    <row r="6" ht="32" customHeight="1" spans="1:13">
      <c r="A6" s="11"/>
      <c r="B6" s="12"/>
      <c r="C6" s="8" t="s">
        <v>92</v>
      </c>
      <c r="D6" s="9" t="s">
        <v>93</v>
      </c>
      <c r="E6" s="9" t="s">
        <v>17</v>
      </c>
      <c r="F6" s="9" t="s">
        <v>18</v>
      </c>
      <c r="G6" s="9" t="s">
        <v>17</v>
      </c>
      <c r="H6" s="9" t="s">
        <v>17</v>
      </c>
      <c r="I6" s="10">
        <v>0.5</v>
      </c>
      <c r="J6" s="10">
        <v>2</v>
      </c>
      <c r="K6" s="10">
        <v>2</v>
      </c>
      <c r="L6" s="10">
        <v>0.5</v>
      </c>
      <c r="M6" s="10">
        <v>5</v>
      </c>
    </row>
    <row r="7" ht="32" customHeight="1" spans="1:13">
      <c r="A7" s="11"/>
      <c r="B7" s="8" t="s">
        <v>94</v>
      </c>
      <c r="C7" s="8" t="s">
        <v>95</v>
      </c>
      <c r="D7" s="9" t="s">
        <v>96</v>
      </c>
      <c r="E7" s="9" t="s">
        <v>17</v>
      </c>
      <c r="F7" s="9" t="s">
        <v>18</v>
      </c>
      <c r="G7" s="9" t="s">
        <v>17</v>
      </c>
      <c r="H7" s="9" t="s">
        <v>17</v>
      </c>
      <c r="I7" s="10">
        <v>0.5</v>
      </c>
      <c r="J7" s="10">
        <v>2</v>
      </c>
      <c r="K7" s="10">
        <v>2</v>
      </c>
      <c r="L7" s="10">
        <v>0.5</v>
      </c>
      <c r="M7" s="10">
        <v>5</v>
      </c>
    </row>
    <row r="8" ht="32" customHeight="1" spans="1:13">
      <c r="A8" s="11"/>
      <c r="B8" s="8" t="s">
        <v>97</v>
      </c>
      <c r="C8" s="8" t="s">
        <v>98</v>
      </c>
      <c r="D8" s="9" t="s">
        <v>99</v>
      </c>
      <c r="E8" s="9" t="s">
        <v>17</v>
      </c>
      <c r="F8" s="9" t="s">
        <v>18</v>
      </c>
      <c r="G8" s="9" t="s">
        <v>17</v>
      </c>
      <c r="H8" s="9" t="s">
        <v>17</v>
      </c>
      <c r="I8" s="10">
        <v>1</v>
      </c>
      <c r="J8" s="10">
        <v>2</v>
      </c>
      <c r="K8" s="10">
        <v>3</v>
      </c>
      <c r="L8" s="10">
        <v>1</v>
      </c>
      <c r="M8" s="10">
        <v>7</v>
      </c>
    </row>
    <row r="9" ht="32" customHeight="1" spans="1:13">
      <c r="A9" s="11"/>
      <c r="B9" s="8" t="s">
        <v>100</v>
      </c>
      <c r="C9" s="8" t="s">
        <v>101</v>
      </c>
      <c r="D9" s="9" t="s">
        <v>102</v>
      </c>
      <c r="E9" s="9" t="s">
        <v>17</v>
      </c>
      <c r="F9" s="9" t="s">
        <v>18</v>
      </c>
      <c r="G9" s="9" t="s">
        <v>17</v>
      </c>
      <c r="H9" s="9" t="s">
        <v>17</v>
      </c>
      <c r="I9" s="10">
        <v>1</v>
      </c>
      <c r="J9" s="10">
        <v>2</v>
      </c>
      <c r="K9" s="10">
        <v>3</v>
      </c>
      <c r="L9" s="10">
        <v>1</v>
      </c>
      <c r="M9" s="10">
        <v>7</v>
      </c>
    </row>
    <row r="10" ht="32" customHeight="1" spans="1:13">
      <c r="A10" s="11"/>
      <c r="B10" s="8" t="s">
        <v>103</v>
      </c>
      <c r="C10" s="8" t="s">
        <v>104</v>
      </c>
      <c r="D10" s="9" t="s">
        <v>105</v>
      </c>
      <c r="E10" s="9" t="s">
        <v>17</v>
      </c>
      <c r="F10" s="9" t="s">
        <v>29</v>
      </c>
      <c r="G10" s="9" t="s">
        <v>17</v>
      </c>
      <c r="H10" s="9" t="s">
        <v>17</v>
      </c>
      <c r="I10" s="10">
        <v>1</v>
      </c>
      <c r="J10" s="10">
        <v>3</v>
      </c>
      <c r="K10" s="10">
        <v>3</v>
      </c>
      <c r="L10" s="10">
        <v>1</v>
      </c>
      <c r="M10" s="10">
        <v>8</v>
      </c>
    </row>
    <row r="11" ht="32" customHeight="1" spans="1:13">
      <c r="A11" s="11"/>
      <c r="B11" s="12"/>
      <c r="C11" s="8" t="s">
        <v>106</v>
      </c>
      <c r="D11" s="9" t="s">
        <v>107</v>
      </c>
      <c r="E11" s="9" t="s">
        <v>17</v>
      </c>
      <c r="F11" s="9" t="s">
        <v>29</v>
      </c>
      <c r="G11" s="9" t="s">
        <v>17</v>
      </c>
      <c r="H11" s="9" t="s">
        <v>17</v>
      </c>
      <c r="I11" s="10">
        <v>1</v>
      </c>
      <c r="J11" s="10">
        <v>2</v>
      </c>
      <c r="K11" s="10">
        <v>3</v>
      </c>
      <c r="L11" s="10">
        <v>1</v>
      </c>
      <c r="M11" s="10">
        <v>7</v>
      </c>
    </row>
    <row r="12" ht="32" customHeight="1" spans="1:13">
      <c r="A12" s="11"/>
      <c r="B12" s="8" t="s">
        <v>108</v>
      </c>
      <c r="C12" s="8" t="s">
        <v>109</v>
      </c>
      <c r="D12" s="9" t="s">
        <v>110</v>
      </c>
      <c r="E12" s="9" t="s">
        <v>17</v>
      </c>
      <c r="F12" s="9" t="s">
        <v>18</v>
      </c>
      <c r="G12" s="9" t="s">
        <v>17</v>
      </c>
      <c r="H12" s="9" t="s">
        <v>17</v>
      </c>
      <c r="I12" s="10">
        <v>0.5</v>
      </c>
      <c r="J12" s="10">
        <v>2</v>
      </c>
      <c r="K12" s="10">
        <v>2</v>
      </c>
      <c r="L12" s="10">
        <v>0.5</v>
      </c>
      <c r="M12" s="10">
        <v>5</v>
      </c>
    </row>
    <row r="13" ht="32" customHeight="1" spans="1:13">
      <c r="A13" s="11"/>
      <c r="B13" s="12"/>
      <c r="C13" s="8" t="s">
        <v>111</v>
      </c>
      <c r="D13" s="9" t="s">
        <v>112</v>
      </c>
      <c r="E13" s="9" t="s">
        <v>17</v>
      </c>
      <c r="F13" s="9" t="s">
        <v>18</v>
      </c>
      <c r="G13" s="9" t="s">
        <v>17</v>
      </c>
      <c r="H13" s="9" t="s">
        <v>17</v>
      </c>
      <c r="I13" s="10">
        <v>0.5</v>
      </c>
      <c r="J13" s="10">
        <v>1</v>
      </c>
      <c r="K13" s="10">
        <v>3</v>
      </c>
      <c r="L13" s="10">
        <v>0.5</v>
      </c>
      <c r="M13" s="10">
        <v>5</v>
      </c>
    </row>
    <row r="14" ht="32" customHeight="1" spans="1:13">
      <c r="A14" s="11"/>
      <c r="B14" s="8" t="s">
        <v>113</v>
      </c>
      <c r="C14" s="8" t="s">
        <v>114</v>
      </c>
      <c r="D14" s="9" t="s">
        <v>115</v>
      </c>
      <c r="E14" s="9" t="s">
        <v>17</v>
      </c>
      <c r="F14" s="9" t="s">
        <v>18</v>
      </c>
      <c r="G14" s="9" t="s">
        <v>17</v>
      </c>
      <c r="H14" s="9" t="s">
        <v>17</v>
      </c>
      <c r="I14" s="10">
        <v>1</v>
      </c>
      <c r="J14" s="10">
        <v>2</v>
      </c>
      <c r="K14" s="10">
        <v>3</v>
      </c>
      <c r="L14" s="10">
        <v>1</v>
      </c>
      <c r="M14" s="10">
        <v>7</v>
      </c>
    </row>
    <row r="15" ht="32" customHeight="1" spans="1:13">
      <c r="A15" s="11"/>
      <c r="B15" s="8" t="s">
        <v>116</v>
      </c>
      <c r="C15" s="8" t="s">
        <v>117</v>
      </c>
      <c r="D15" s="9" t="s">
        <v>118</v>
      </c>
      <c r="E15" s="9" t="s">
        <v>17</v>
      </c>
      <c r="F15" s="9" t="s">
        <v>18</v>
      </c>
      <c r="G15" s="9" t="s">
        <v>17</v>
      </c>
      <c r="H15" s="9" t="s">
        <v>17</v>
      </c>
      <c r="I15" s="10">
        <v>1</v>
      </c>
      <c r="J15" s="10">
        <v>2</v>
      </c>
      <c r="K15" s="10">
        <v>2</v>
      </c>
      <c r="L15" s="10">
        <v>1</v>
      </c>
      <c r="M15" s="10">
        <v>6</v>
      </c>
    </row>
    <row r="16" ht="32" customHeight="1" spans="1:13">
      <c r="A16" s="11"/>
      <c r="B16" s="8" t="s">
        <v>119</v>
      </c>
      <c r="C16" s="8" t="s">
        <v>120</v>
      </c>
      <c r="D16" s="9" t="s">
        <v>121</v>
      </c>
      <c r="E16" s="9" t="s">
        <v>17</v>
      </c>
      <c r="F16" s="9" t="s">
        <v>18</v>
      </c>
      <c r="G16" s="9" t="s">
        <v>17</v>
      </c>
      <c r="H16" s="9" t="s">
        <v>17</v>
      </c>
      <c r="I16" s="10">
        <v>1</v>
      </c>
      <c r="J16" s="10">
        <v>2</v>
      </c>
      <c r="K16" s="10">
        <v>2</v>
      </c>
      <c r="L16" s="10">
        <v>1</v>
      </c>
      <c r="M16" s="10">
        <v>6</v>
      </c>
    </row>
    <row r="17" ht="32" customHeight="1" spans="1:13">
      <c r="A17" s="11"/>
      <c r="B17" s="8" t="s">
        <v>122</v>
      </c>
      <c r="C17" s="8" t="s">
        <v>123</v>
      </c>
      <c r="D17" s="9" t="s">
        <v>124</v>
      </c>
      <c r="E17" s="9" t="s">
        <v>17</v>
      </c>
      <c r="F17" s="9" t="s">
        <v>29</v>
      </c>
      <c r="G17" s="9" t="s">
        <v>17</v>
      </c>
      <c r="H17" s="9" t="s">
        <v>17</v>
      </c>
      <c r="I17" s="10">
        <v>1</v>
      </c>
      <c r="J17" s="10">
        <v>3</v>
      </c>
      <c r="K17" s="10">
        <v>3</v>
      </c>
      <c r="L17" s="10">
        <v>1</v>
      </c>
      <c r="M17" s="10">
        <v>8</v>
      </c>
    </row>
    <row r="18" ht="32" customHeight="1" spans="1:13">
      <c r="A18" s="11"/>
      <c r="B18" s="12"/>
      <c r="C18" s="8" t="s">
        <v>125</v>
      </c>
      <c r="D18" s="9" t="s">
        <v>126</v>
      </c>
      <c r="E18" s="9" t="s">
        <v>17</v>
      </c>
      <c r="F18" s="9" t="s">
        <v>29</v>
      </c>
      <c r="G18" s="9" t="s">
        <v>17</v>
      </c>
      <c r="H18" s="9" t="s">
        <v>17</v>
      </c>
      <c r="I18" s="10">
        <v>1</v>
      </c>
      <c r="J18" s="10">
        <v>3</v>
      </c>
      <c r="K18" s="10">
        <v>3</v>
      </c>
      <c r="L18" s="10">
        <v>1</v>
      </c>
      <c r="M18" s="10">
        <v>8</v>
      </c>
    </row>
    <row r="19" ht="32" customHeight="1" spans="1:13">
      <c r="A19" s="11"/>
      <c r="B19" s="8" t="s">
        <v>127</v>
      </c>
      <c r="C19" s="8" t="s">
        <v>128</v>
      </c>
      <c r="D19" s="9" t="s">
        <v>129</v>
      </c>
      <c r="E19" s="9" t="s">
        <v>17</v>
      </c>
      <c r="F19" s="9" t="s">
        <v>18</v>
      </c>
      <c r="G19" s="9" t="s">
        <v>17</v>
      </c>
      <c r="H19" s="9" t="s">
        <v>17</v>
      </c>
      <c r="I19" s="10">
        <v>0.5</v>
      </c>
      <c r="J19" s="10">
        <v>2</v>
      </c>
      <c r="K19" s="10">
        <v>3</v>
      </c>
      <c r="L19" s="10">
        <v>1</v>
      </c>
      <c r="M19" s="10">
        <v>6.5</v>
      </c>
    </row>
    <row r="20" ht="32" customHeight="1" spans="1:13">
      <c r="A20" s="12"/>
      <c r="B20" s="12"/>
      <c r="C20" s="8" t="s">
        <v>130</v>
      </c>
      <c r="D20" s="9" t="s">
        <v>131</v>
      </c>
      <c r="E20" s="9" t="s">
        <v>17</v>
      </c>
      <c r="F20" s="9" t="s">
        <v>18</v>
      </c>
      <c r="G20" s="9" t="s">
        <v>17</v>
      </c>
      <c r="H20" s="9" t="s">
        <v>17</v>
      </c>
      <c r="I20" s="10">
        <v>0.5</v>
      </c>
      <c r="J20" s="10">
        <v>1.5</v>
      </c>
      <c r="K20" s="10">
        <v>2.5</v>
      </c>
      <c r="L20" s="10">
        <v>0.5</v>
      </c>
      <c r="M20" s="10">
        <v>5</v>
      </c>
    </row>
    <row r="21" ht="28" customHeight="1" spans="1:13">
      <c r="A21" s="13" t="s">
        <v>132</v>
      </c>
      <c r="B21" s="6"/>
      <c r="C21" s="6"/>
      <c r="D21" s="6"/>
      <c r="E21" s="6"/>
      <c r="F21" s="6"/>
      <c r="G21" s="6"/>
      <c r="H21" s="6"/>
      <c r="I21" s="14">
        <f>SUM(I3:I20)</f>
        <v>14.5</v>
      </c>
      <c r="J21" s="14">
        <f>SUM(J3:J20)</f>
        <v>39.5</v>
      </c>
      <c r="K21" s="14">
        <f>SUM(K3:K20)</f>
        <v>47.5</v>
      </c>
      <c r="L21" s="14">
        <f>SUM(L3:L20)</f>
        <v>15</v>
      </c>
      <c r="M21" s="14">
        <f>SUM(M3:M20)</f>
        <v>116.5</v>
      </c>
    </row>
  </sheetData>
  <mergeCells count="9">
    <mergeCell ref="A2:M2"/>
    <mergeCell ref="A21:H21"/>
    <mergeCell ref="A3:A20"/>
    <mergeCell ref="B3:B4"/>
    <mergeCell ref="B5:B6"/>
    <mergeCell ref="B10:B11"/>
    <mergeCell ref="B12:B13"/>
    <mergeCell ref="B17:B18"/>
    <mergeCell ref="B19:B2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F18" sqref="F18"/>
    </sheetView>
  </sheetViews>
  <sheetFormatPr defaultColWidth="9" defaultRowHeight="16.8" outlineLevelRow="3" outlineLevelCol="7"/>
  <cols>
    <col min="1" max="8" width="15" customWidth="1"/>
  </cols>
  <sheetData>
    <row r="1" ht="45" customHeight="1" spans="1:8">
      <c r="A1" s="1" t="s">
        <v>133</v>
      </c>
      <c r="B1" s="1" t="s">
        <v>134</v>
      </c>
      <c r="C1" s="1" t="s">
        <v>135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136</v>
      </c>
    </row>
    <row r="2" spans="1:8">
      <c r="A2" s="2" t="s">
        <v>137</v>
      </c>
      <c r="B2" s="2">
        <v>10</v>
      </c>
      <c r="C2" s="2">
        <v>26</v>
      </c>
      <c r="D2" s="2">
        <v>18.5</v>
      </c>
      <c r="E2" s="2">
        <v>59.5</v>
      </c>
      <c r="F2" s="2">
        <v>52.5</v>
      </c>
      <c r="G2" s="2">
        <v>18</v>
      </c>
      <c r="H2" s="2">
        <v>148.5</v>
      </c>
    </row>
    <row r="3" spans="1:8">
      <c r="A3" s="3" t="s">
        <v>138</v>
      </c>
      <c r="B3" s="3">
        <v>18</v>
      </c>
      <c r="C3" s="3">
        <v>24</v>
      </c>
      <c r="D3" s="3">
        <v>23</v>
      </c>
      <c r="E3" s="3">
        <v>62.5</v>
      </c>
      <c r="F3" s="3">
        <v>70</v>
      </c>
      <c r="G3" s="3">
        <v>23.5</v>
      </c>
      <c r="H3" s="3">
        <v>179</v>
      </c>
    </row>
    <row r="4" spans="1:8">
      <c r="A4" s="4" t="s">
        <v>139</v>
      </c>
      <c r="B4" s="4">
        <v>28</v>
      </c>
      <c r="C4" s="4">
        <v>50</v>
      </c>
      <c r="D4" s="4">
        <v>41.5</v>
      </c>
      <c r="E4" s="4">
        <v>122</v>
      </c>
      <c r="F4" s="4">
        <v>122.5</v>
      </c>
      <c r="G4" s="4">
        <v>41.5</v>
      </c>
      <c r="H4" s="4">
        <v>327.5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第一期开发</vt:lpstr>
      <vt:lpstr>第二期开发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KELLY2025</cp:lastModifiedBy>
  <dcterms:created xsi:type="dcterms:W3CDTF">2026-03-24T11:01:00Z</dcterms:created>
  <dcterms:modified xsi:type="dcterms:W3CDTF">2026-03-24T11:05:42Z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C0CE5028916C3F9986FFC16918BF4FF2_42</vt:lpwstr>
  </property>
</Properties>
</file>